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urielmenalled/Box/Rye-Soybean 2019/Data/"/>
    </mc:Choice>
  </mc:AlternateContent>
  <xr:revisionPtr revIDLastSave="0" documentId="13_ncr:1_{4B84B5FD-54D0-1C4B-899A-F2D4D95529F8}" xr6:coauthVersionLast="45" xr6:coauthVersionMax="45" xr10:uidLastSave="{00000000-0000-0000-0000-000000000000}"/>
  <bookViews>
    <workbookView xWindow="0" yWindow="460" windowWidth="38400" windowHeight="21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5" i="1"/>
  <c r="J36" i="1"/>
  <c r="J37" i="1"/>
  <c r="J38" i="1"/>
  <c r="J39" i="1"/>
  <c r="J40" i="1"/>
  <c r="J41" i="1"/>
  <c r="J42" i="1"/>
  <c r="J43" i="1"/>
  <c r="J44" i="1"/>
  <c r="J45" i="1"/>
  <c r="J46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21" i="1"/>
  <c r="J120" i="1"/>
  <c r="J119" i="1"/>
  <c r="J118" i="1"/>
  <c r="J117" i="1"/>
  <c r="J116" i="1"/>
</calcChain>
</file>

<file path=xl/sharedStrings.xml><?xml version="1.0" encoding="utf-8"?>
<sst xmlns="http://schemas.openxmlformats.org/spreadsheetml/2006/main" count="250" uniqueCount="15">
  <si>
    <t>Site</t>
  </si>
  <si>
    <t>Block</t>
  </si>
  <si>
    <t>Plot</t>
  </si>
  <si>
    <t>Treatment</t>
  </si>
  <si>
    <t>SeedWeight_g</t>
  </si>
  <si>
    <t>Sample volume_mL</t>
  </si>
  <si>
    <t>Aur</t>
  </si>
  <si>
    <t>Low</t>
  </si>
  <si>
    <t>High</t>
  </si>
  <si>
    <t>None</t>
  </si>
  <si>
    <t>Gen</t>
  </si>
  <si>
    <t>TestWeight_lbsBu</t>
  </si>
  <si>
    <t>Soy_num</t>
  </si>
  <si>
    <t>Pod_num</t>
  </si>
  <si>
    <t>Seed_num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</si>
</sst>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0" fontId="0" fillId="2" borderId="1" xfId="0" applyNumberFormat="1" applyFont="1" applyFill="1" applyBorder="1" applyAlignment="1"/>
    <xf numFmtId="2" fontId="0" fillId="2" borderId="1" xfId="0" applyNumberFormat="1" applyFont="1" applyFill="1" applyBorder="1" applyAlignment="1"/>
    <xf numFmtId="0" fontId="0" fillId="2" borderId="1" xfId="0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21"/>
  <sheetViews>
    <sheetView showGridLines="0" tabSelected="1" topLeftCell="A52" workbookViewId="0">
      <selection activeCell="E78" sqref="E78"/>
    </sheetView>
  </sheetViews>
  <sheetFormatPr baseColWidth="10" defaultColWidth="10.83203125" defaultRowHeight="16" customHeight="1" x14ac:dyDescent="0.2"/>
  <cols>
    <col min="1" max="1" width="10.83203125" style="1"/>
    <col min="2" max="4" width="10.83203125" style="1" customWidth="1"/>
    <col min="5" max="8" width="10.83203125" style="1"/>
    <col min="9" max="9" width="13.83203125" style="1" customWidth="1"/>
    <col min="10" max="10" width="17.1640625" style="1" bestFit="1" customWidth="1"/>
    <col min="11" max="255" width="10.83203125" style="1" customWidth="1"/>
  </cols>
  <sheetData>
    <row r="1" spans="1:10" ht="1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14</v>
      </c>
      <c r="H1" s="2" t="s">
        <v>4</v>
      </c>
      <c r="I1" s="2" t="s">
        <v>5</v>
      </c>
      <c r="J1" s="2" t="s">
        <v>11</v>
      </c>
    </row>
    <row r="2" spans="1:10" ht="17" customHeight="1" x14ac:dyDescent="0.2">
      <c r="A2" s="2" t="s">
        <v>6</v>
      </c>
      <c r="B2" s="3">
        <v>1</v>
      </c>
      <c r="C2" s="3">
        <v>1</v>
      </c>
      <c r="D2" s="2" t="s">
        <v>7</v>
      </c>
      <c r="E2" s="3">
        <v>44</v>
      </c>
      <c r="F2" s="3">
        <v>742</v>
      </c>
      <c r="G2" s="3">
        <v>1487</v>
      </c>
      <c r="H2" s="4">
        <v>256.45999999999998</v>
      </c>
      <c r="I2" s="3">
        <v>350</v>
      </c>
      <c r="J2" s="4">
        <f t="shared" ref="J2:J65" si="0">(H2/I2)*(1/453.59)*35239.1</f>
        <v>56.926296472900312</v>
      </c>
    </row>
    <row r="3" spans="1:10" ht="17" customHeight="1" x14ac:dyDescent="0.2">
      <c r="A3" s="2" t="s">
        <v>6</v>
      </c>
      <c r="B3" s="3">
        <v>1</v>
      </c>
      <c r="C3" s="3">
        <v>1</v>
      </c>
      <c r="D3" s="2" t="s">
        <v>8</v>
      </c>
      <c r="E3" s="3">
        <v>30</v>
      </c>
      <c r="F3" s="3">
        <v>934</v>
      </c>
      <c r="G3" s="3">
        <v>2131</v>
      </c>
      <c r="H3" s="4">
        <v>321.36</v>
      </c>
      <c r="I3" s="3">
        <v>450</v>
      </c>
      <c r="J3" s="4">
        <f t="shared" si="0"/>
        <v>55.48053516758894</v>
      </c>
    </row>
    <row r="4" spans="1:10" ht="17" customHeight="1" x14ac:dyDescent="0.2">
      <c r="A4" s="2" t="s">
        <v>6</v>
      </c>
      <c r="B4" s="3">
        <v>1</v>
      </c>
      <c r="C4" s="3">
        <v>1</v>
      </c>
      <c r="D4" s="2" t="s">
        <v>9</v>
      </c>
      <c r="E4" s="3">
        <v>38</v>
      </c>
      <c r="F4" s="3">
        <v>658</v>
      </c>
      <c r="G4" s="3">
        <v>1509</v>
      </c>
      <c r="H4" s="4">
        <v>211.36</v>
      </c>
      <c r="I4" s="3">
        <v>300</v>
      </c>
      <c r="J4" s="4">
        <f t="shared" si="0"/>
        <v>54.734717667203128</v>
      </c>
    </row>
    <row r="5" spans="1:10" ht="17" customHeight="1" x14ac:dyDescent="0.2">
      <c r="A5" s="2" t="s">
        <v>6</v>
      </c>
      <c r="B5" s="3">
        <v>1</v>
      </c>
      <c r="C5" s="3">
        <v>2</v>
      </c>
      <c r="D5" s="2" t="s">
        <v>7</v>
      </c>
      <c r="E5" s="3">
        <v>34</v>
      </c>
      <c r="F5" s="3">
        <v>695</v>
      </c>
      <c r="G5" s="3">
        <v>1561</v>
      </c>
      <c r="H5" s="4">
        <v>234.89</v>
      </c>
      <c r="I5" s="3">
        <v>330</v>
      </c>
      <c r="J5" s="4">
        <f t="shared" si="0"/>
        <v>55.2983183919265</v>
      </c>
    </row>
    <row r="6" spans="1:10" ht="17" customHeight="1" x14ac:dyDescent="0.2">
      <c r="A6" s="2" t="s">
        <v>6</v>
      </c>
      <c r="B6" s="3">
        <v>1</v>
      </c>
      <c r="C6" s="3">
        <v>2</v>
      </c>
      <c r="D6" s="2" t="s">
        <v>8</v>
      </c>
      <c r="E6" s="3">
        <v>27</v>
      </c>
      <c r="F6" s="3">
        <v>581</v>
      </c>
      <c r="G6" s="3">
        <v>1323</v>
      </c>
      <c r="H6" s="4">
        <v>197.85</v>
      </c>
      <c r="I6" s="3">
        <v>270</v>
      </c>
      <c r="J6" s="4">
        <f t="shared" si="0"/>
        <v>56.929009433384529</v>
      </c>
    </row>
    <row r="7" spans="1:10" ht="17" customHeight="1" x14ac:dyDescent="0.2">
      <c r="A7" s="2" t="s">
        <v>6</v>
      </c>
      <c r="B7" s="3">
        <v>1</v>
      </c>
      <c r="C7" s="3">
        <v>2</v>
      </c>
      <c r="D7" s="2" t="s">
        <v>9</v>
      </c>
      <c r="E7" s="3">
        <v>42</v>
      </c>
      <c r="F7" s="3">
        <v>851</v>
      </c>
      <c r="G7" s="3">
        <v>1935</v>
      </c>
      <c r="H7" s="4">
        <v>280.51</v>
      </c>
      <c r="I7" s="3">
        <v>390</v>
      </c>
      <c r="J7" s="4">
        <f t="shared" si="0"/>
        <v>55.878543545198667</v>
      </c>
    </row>
    <row r="8" spans="1:10" ht="17" customHeight="1" x14ac:dyDescent="0.2">
      <c r="A8" s="2" t="s">
        <v>6</v>
      </c>
      <c r="B8" s="3">
        <v>1</v>
      </c>
      <c r="C8" s="3">
        <v>3</v>
      </c>
      <c r="D8" s="2" t="s">
        <v>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ht="17" customHeight="1" x14ac:dyDescent="0.2">
      <c r="A9" s="2" t="s">
        <v>6</v>
      </c>
      <c r="B9" s="3">
        <v>1</v>
      </c>
      <c r="C9" s="3">
        <v>3</v>
      </c>
      <c r="D9" s="2" t="s">
        <v>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ht="17" customHeight="1" x14ac:dyDescent="0.2">
      <c r="A10" s="2" t="s">
        <v>6</v>
      </c>
      <c r="B10" s="3">
        <v>1</v>
      </c>
      <c r="C10" s="3">
        <v>3</v>
      </c>
      <c r="D10" s="2" t="s">
        <v>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ht="17" customHeight="1" x14ac:dyDescent="0.2">
      <c r="A11" s="2" t="s">
        <v>6</v>
      </c>
      <c r="B11" s="3">
        <v>1</v>
      </c>
      <c r="C11" s="3">
        <v>4</v>
      </c>
      <c r="D11" s="2" t="s">
        <v>7</v>
      </c>
      <c r="E11" s="3">
        <v>28</v>
      </c>
      <c r="F11" s="3">
        <v>471</v>
      </c>
      <c r="G11" s="3">
        <v>1120</v>
      </c>
      <c r="H11" s="4">
        <v>153.71</v>
      </c>
      <c r="I11" s="3">
        <v>220</v>
      </c>
      <c r="J11" s="4">
        <f t="shared" si="0"/>
        <v>54.280117416810135</v>
      </c>
    </row>
    <row r="12" spans="1:10" ht="17" customHeight="1" x14ac:dyDescent="0.2">
      <c r="A12" s="2" t="s">
        <v>6</v>
      </c>
      <c r="B12" s="3">
        <v>1</v>
      </c>
      <c r="C12" s="3">
        <v>4</v>
      </c>
      <c r="D12" s="2" t="s">
        <v>8</v>
      </c>
      <c r="E12" s="3">
        <v>16</v>
      </c>
      <c r="F12" s="3">
        <v>322</v>
      </c>
      <c r="G12" s="3">
        <v>763</v>
      </c>
      <c r="H12" s="4">
        <v>109.71</v>
      </c>
      <c r="I12" s="3">
        <v>150</v>
      </c>
      <c r="J12" s="4">
        <f t="shared" si="0"/>
        <v>56.821970810643968</v>
      </c>
    </row>
    <row r="13" spans="1:10" ht="17" customHeight="1" x14ac:dyDescent="0.2">
      <c r="A13" s="2" t="s">
        <v>6</v>
      </c>
      <c r="B13" s="3">
        <v>1</v>
      </c>
      <c r="C13" s="3">
        <v>4</v>
      </c>
      <c r="D13" s="2" t="s">
        <v>9</v>
      </c>
      <c r="E13" s="3">
        <v>27</v>
      </c>
      <c r="F13" s="3">
        <v>778</v>
      </c>
      <c r="G13" s="3">
        <v>1806</v>
      </c>
      <c r="H13" s="4">
        <v>270.93</v>
      </c>
      <c r="I13" s="3">
        <v>380</v>
      </c>
      <c r="J13" s="4">
        <f t="shared" si="0"/>
        <v>55.390442812370551</v>
      </c>
    </row>
    <row r="14" spans="1:10" ht="17" customHeight="1" x14ac:dyDescent="0.2">
      <c r="A14" s="2" t="s">
        <v>6</v>
      </c>
      <c r="B14" s="3">
        <v>1</v>
      </c>
      <c r="C14" s="3">
        <v>5</v>
      </c>
      <c r="D14" s="2" t="s">
        <v>7</v>
      </c>
      <c r="E14" s="3">
        <v>9</v>
      </c>
      <c r="F14" s="3">
        <v>470</v>
      </c>
      <c r="G14" s="3">
        <v>794</v>
      </c>
      <c r="H14" s="4">
        <v>165.73</v>
      </c>
      <c r="I14" s="3">
        <v>230</v>
      </c>
      <c r="J14" s="4">
        <f t="shared" si="0"/>
        <v>55.980223885389698</v>
      </c>
    </row>
    <row r="15" spans="1:10" ht="17" customHeight="1" x14ac:dyDescent="0.2">
      <c r="A15" s="2" t="s">
        <v>6</v>
      </c>
      <c r="B15" s="3">
        <v>1</v>
      </c>
      <c r="C15" s="3">
        <v>5</v>
      </c>
      <c r="D15" s="2" t="s">
        <v>8</v>
      </c>
      <c r="E15" s="3">
        <v>10</v>
      </c>
      <c r="F15" s="3">
        <v>379</v>
      </c>
      <c r="G15" s="3">
        <v>878</v>
      </c>
      <c r="H15" s="4">
        <v>121.33</v>
      </c>
      <c r="I15" s="3">
        <v>170</v>
      </c>
      <c r="J15" s="4">
        <f t="shared" si="0"/>
        <v>55.447326790325029</v>
      </c>
    </row>
    <row r="16" spans="1:10" ht="17" customHeight="1" x14ac:dyDescent="0.2">
      <c r="A16" s="2" t="s">
        <v>6</v>
      </c>
      <c r="B16" s="3">
        <v>1</v>
      </c>
      <c r="C16" s="3">
        <v>5</v>
      </c>
      <c r="D16" s="2" t="s">
        <v>9</v>
      </c>
      <c r="E16" s="3">
        <v>15</v>
      </c>
      <c r="F16" s="3">
        <v>626</v>
      </c>
      <c r="G16" s="3">
        <v>1430</v>
      </c>
      <c r="H16" s="4">
        <v>213.22</v>
      </c>
      <c r="I16" s="3">
        <v>300</v>
      </c>
      <c r="J16" s="4">
        <f t="shared" si="0"/>
        <v>55.21639146953563</v>
      </c>
    </row>
    <row r="17" spans="1:10" ht="17" customHeight="1" x14ac:dyDescent="0.2">
      <c r="A17" s="2" t="s">
        <v>6</v>
      </c>
      <c r="B17" s="3">
        <v>2</v>
      </c>
      <c r="C17" s="3">
        <v>6</v>
      </c>
      <c r="D17" s="2" t="s">
        <v>7</v>
      </c>
      <c r="E17" s="3">
        <v>41</v>
      </c>
      <c r="F17" s="3">
        <v>793</v>
      </c>
      <c r="G17" s="3">
        <v>1224</v>
      </c>
      <c r="H17" s="4">
        <v>279.75</v>
      </c>
      <c r="I17" s="3">
        <v>390</v>
      </c>
      <c r="J17" s="4">
        <f t="shared" si="0"/>
        <v>55.727148967128905</v>
      </c>
    </row>
    <row r="18" spans="1:10" ht="17" customHeight="1" x14ac:dyDescent="0.2">
      <c r="A18" s="2" t="s">
        <v>6</v>
      </c>
      <c r="B18" s="3">
        <v>2</v>
      </c>
      <c r="C18" s="3">
        <v>6</v>
      </c>
      <c r="D18" s="2" t="s">
        <v>8</v>
      </c>
      <c r="E18" s="3">
        <v>32</v>
      </c>
      <c r="F18" s="3">
        <v>575</v>
      </c>
      <c r="G18" s="3">
        <v>1170</v>
      </c>
      <c r="H18" s="4">
        <v>174.83</v>
      </c>
      <c r="I18" s="3">
        <v>250</v>
      </c>
      <c r="J18" s="4">
        <f t="shared" si="0"/>
        <v>54.329697330188061</v>
      </c>
    </row>
    <row r="19" spans="1:10" ht="17" customHeight="1" x14ac:dyDescent="0.2">
      <c r="A19" s="2" t="s">
        <v>6</v>
      </c>
      <c r="B19" s="3">
        <v>2</v>
      </c>
      <c r="C19" s="3">
        <v>6</v>
      </c>
      <c r="D19" s="2" t="s">
        <v>9</v>
      </c>
      <c r="E19" s="3">
        <v>33</v>
      </c>
      <c r="F19" s="3">
        <v>618</v>
      </c>
      <c r="G19" s="3">
        <v>1363</v>
      </c>
      <c r="H19" s="4">
        <v>202.27</v>
      </c>
      <c r="I19" s="3">
        <v>290</v>
      </c>
      <c r="J19" s="4">
        <f t="shared" si="0"/>
        <v>54.186963291321121</v>
      </c>
    </row>
    <row r="20" spans="1:10" ht="17" customHeight="1" x14ac:dyDescent="0.2">
      <c r="A20" s="2" t="s">
        <v>6</v>
      </c>
      <c r="B20" s="3">
        <v>2</v>
      </c>
      <c r="C20" s="3">
        <v>7</v>
      </c>
      <c r="D20" s="2" t="s">
        <v>9</v>
      </c>
      <c r="E20" s="3">
        <v>14</v>
      </c>
      <c r="F20" s="3">
        <v>603</v>
      </c>
      <c r="G20" s="3">
        <v>1471</v>
      </c>
      <c r="H20" s="4">
        <v>216.02</v>
      </c>
      <c r="I20" s="3">
        <v>300</v>
      </c>
      <c r="J20" s="4">
        <f t="shared" si="0"/>
        <v>55.941491817132956</v>
      </c>
    </row>
    <row r="21" spans="1:10" ht="17" customHeight="1" x14ac:dyDescent="0.2">
      <c r="A21" s="2" t="s">
        <v>6</v>
      </c>
      <c r="B21" s="3">
        <v>2</v>
      </c>
      <c r="C21" s="3">
        <v>7</v>
      </c>
      <c r="D21" s="2" t="s">
        <v>7</v>
      </c>
      <c r="E21" s="3">
        <v>15</v>
      </c>
      <c r="F21" s="3">
        <v>571</v>
      </c>
      <c r="G21" s="3">
        <v>1255</v>
      </c>
      <c r="H21" s="4">
        <v>182.08</v>
      </c>
      <c r="I21" s="3">
        <v>250</v>
      </c>
      <c r="J21" s="4">
        <f t="shared" si="0"/>
        <v>56.582687695936869</v>
      </c>
    </row>
    <row r="22" spans="1:10" ht="17" customHeight="1" x14ac:dyDescent="0.2">
      <c r="A22" s="2" t="s">
        <v>6</v>
      </c>
      <c r="B22" s="3">
        <v>2</v>
      </c>
      <c r="C22" s="3">
        <v>7</v>
      </c>
      <c r="D22" s="2" t="s">
        <v>8</v>
      </c>
      <c r="E22" s="3">
        <v>14</v>
      </c>
      <c r="F22" s="3">
        <v>452</v>
      </c>
      <c r="G22" s="3">
        <v>1028</v>
      </c>
      <c r="H22" s="4">
        <v>152.76</v>
      </c>
      <c r="I22" s="3">
        <v>210</v>
      </c>
      <c r="J22" s="4">
        <f t="shared" si="0"/>
        <v>56.513433213758177</v>
      </c>
    </row>
    <row r="23" spans="1:10" ht="17" customHeight="1" x14ac:dyDescent="0.2">
      <c r="A23" s="2" t="s">
        <v>6</v>
      </c>
      <c r="B23" s="3">
        <v>2</v>
      </c>
      <c r="C23" s="3">
        <v>8</v>
      </c>
      <c r="D23" s="2" t="s">
        <v>9</v>
      </c>
      <c r="E23" s="3">
        <v>24</v>
      </c>
      <c r="F23" s="3">
        <v>746</v>
      </c>
      <c r="G23" s="3">
        <v>1730</v>
      </c>
      <c r="H23" s="4">
        <v>257.74</v>
      </c>
      <c r="I23" s="3">
        <v>350</v>
      </c>
      <c r="J23" s="4">
        <f t="shared" si="0"/>
        <v>57.210417425428254</v>
      </c>
    </row>
    <row r="24" spans="1:10" ht="17" customHeight="1" x14ac:dyDescent="0.2">
      <c r="A24" s="2" t="s">
        <v>6</v>
      </c>
      <c r="B24" s="3">
        <v>2</v>
      </c>
      <c r="C24" s="3">
        <v>8</v>
      </c>
      <c r="D24" s="2" t="s">
        <v>7</v>
      </c>
      <c r="E24" s="3">
        <v>23</v>
      </c>
      <c r="F24" s="3">
        <v>568</v>
      </c>
      <c r="G24" s="3">
        <v>1282</v>
      </c>
      <c r="H24" s="4">
        <v>189.94</v>
      </c>
      <c r="I24" s="3">
        <v>260</v>
      </c>
      <c r="J24" s="4">
        <f t="shared" si="0"/>
        <v>56.755038470865763</v>
      </c>
    </row>
    <row r="25" spans="1:10" ht="17" customHeight="1" x14ac:dyDescent="0.2">
      <c r="A25" s="2" t="s">
        <v>6</v>
      </c>
      <c r="B25" s="3">
        <v>2</v>
      </c>
      <c r="C25" s="3">
        <v>8</v>
      </c>
      <c r="D25" s="2" t="s">
        <v>8</v>
      </c>
      <c r="E25" s="3">
        <v>25</v>
      </c>
      <c r="F25" s="3">
        <v>716</v>
      </c>
      <c r="G25" s="3">
        <v>1659</v>
      </c>
      <c r="H25" s="4">
        <v>244.19</v>
      </c>
      <c r="I25" s="3">
        <v>330</v>
      </c>
      <c r="J25" s="4">
        <f t="shared" si="0"/>
        <v>57.487744766165143</v>
      </c>
    </row>
    <row r="26" spans="1:10" ht="17" customHeight="1" x14ac:dyDescent="0.2">
      <c r="A26" s="2" t="s">
        <v>6</v>
      </c>
      <c r="B26" s="3">
        <v>2</v>
      </c>
      <c r="C26" s="3">
        <v>9</v>
      </c>
      <c r="D26" s="2" t="s">
        <v>8</v>
      </c>
      <c r="E26" s="3">
        <v>44</v>
      </c>
      <c r="F26" s="3">
        <v>502</v>
      </c>
      <c r="G26" s="3">
        <v>1021</v>
      </c>
      <c r="H26" s="4">
        <v>147.33000000000001</v>
      </c>
      <c r="I26" s="3">
        <v>210</v>
      </c>
      <c r="J26" s="4">
        <f t="shared" si="0"/>
        <v>54.504609291588068</v>
      </c>
    </row>
    <row r="27" spans="1:10" ht="17" customHeight="1" x14ac:dyDescent="0.2">
      <c r="A27" s="2" t="s">
        <v>6</v>
      </c>
      <c r="B27" s="3">
        <v>2</v>
      </c>
      <c r="C27" s="3">
        <v>9</v>
      </c>
      <c r="D27" s="2" t="s">
        <v>7</v>
      </c>
      <c r="E27" s="3">
        <v>41</v>
      </c>
      <c r="F27" s="3">
        <v>575</v>
      </c>
      <c r="G27" s="3">
        <v>1315</v>
      </c>
      <c r="H27" s="4">
        <v>201.12</v>
      </c>
      <c r="I27" s="3">
        <v>280</v>
      </c>
      <c r="J27" s="4">
        <f t="shared" si="0"/>
        <v>55.803130832438356</v>
      </c>
    </row>
    <row r="28" spans="1:10" ht="17" customHeight="1" x14ac:dyDescent="0.2">
      <c r="A28" s="2" t="s">
        <v>6</v>
      </c>
      <c r="B28" s="3">
        <v>2</v>
      </c>
      <c r="C28" s="3">
        <v>9</v>
      </c>
      <c r="D28" s="2" t="s">
        <v>9</v>
      </c>
      <c r="E28" s="3">
        <v>40</v>
      </c>
      <c r="F28" s="3">
        <v>765</v>
      </c>
      <c r="G28" s="3">
        <v>1781</v>
      </c>
      <c r="H28" s="4">
        <v>271.27</v>
      </c>
      <c r="I28" s="3">
        <v>370</v>
      </c>
      <c r="J28" s="4">
        <f t="shared" si="0"/>
        <v>56.958871995962539</v>
      </c>
    </row>
    <row r="29" spans="1:10" ht="17" customHeight="1" x14ac:dyDescent="0.2">
      <c r="A29" s="2" t="s">
        <v>6</v>
      </c>
      <c r="B29" s="3">
        <v>2</v>
      </c>
      <c r="C29" s="3">
        <v>10</v>
      </c>
      <c r="D29" s="2" t="s">
        <v>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</row>
    <row r="30" spans="1:10" ht="17" customHeight="1" x14ac:dyDescent="0.2">
      <c r="A30" s="2" t="s">
        <v>6</v>
      </c>
      <c r="B30" s="3">
        <v>2</v>
      </c>
      <c r="C30" s="3">
        <v>10</v>
      </c>
      <c r="D30" s="2" t="s">
        <v>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 ht="17" customHeight="1" x14ac:dyDescent="0.2">
      <c r="A31" s="2" t="s">
        <v>6</v>
      </c>
      <c r="B31" s="3">
        <v>2</v>
      </c>
      <c r="C31" s="3">
        <v>10</v>
      </c>
      <c r="D31" s="2" t="s">
        <v>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ht="17" customHeight="1" x14ac:dyDescent="0.2">
      <c r="A32" s="2" t="s">
        <v>6</v>
      </c>
      <c r="B32" s="3">
        <v>3</v>
      </c>
      <c r="C32" s="3">
        <v>11</v>
      </c>
      <c r="D32" s="2" t="s">
        <v>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 ht="17" customHeight="1" x14ac:dyDescent="0.2">
      <c r="A33" s="2" t="s">
        <v>6</v>
      </c>
      <c r="B33" s="3">
        <v>3</v>
      </c>
      <c r="C33" s="3">
        <v>11</v>
      </c>
      <c r="D33" s="2" t="s">
        <v>8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</row>
    <row r="34" spans="1:10" ht="17" customHeight="1" x14ac:dyDescent="0.2">
      <c r="A34" s="2" t="s">
        <v>6</v>
      </c>
      <c r="B34" s="3">
        <v>3</v>
      </c>
      <c r="C34" s="3">
        <v>11</v>
      </c>
      <c r="D34" s="2" t="s">
        <v>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17" customHeight="1" x14ac:dyDescent="0.2">
      <c r="A35" s="2" t="s">
        <v>6</v>
      </c>
      <c r="B35" s="3">
        <v>3</v>
      </c>
      <c r="C35" s="3">
        <v>12</v>
      </c>
      <c r="D35" s="2" t="s">
        <v>7</v>
      </c>
      <c r="E35" s="3">
        <v>26</v>
      </c>
      <c r="F35" s="3">
        <v>761</v>
      </c>
      <c r="G35" s="3">
        <v>1741</v>
      </c>
      <c r="H35" s="4">
        <v>263.58999999999997</v>
      </c>
      <c r="I35" s="3">
        <v>370</v>
      </c>
      <c r="J35" s="4">
        <f t="shared" si="0"/>
        <v>55.346293616749975</v>
      </c>
    </row>
    <row r="36" spans="1:10" ht="17" customHeight="1" x14ac:dyDescent="0.2">
      <c r="A36" s="2" t="s">
        <v>6</v>
      </c>
      <c r="B36" s="3">
        <v>3</v>
      </c>
      <c r="C36" s="3">
        <v>12</v>
      </c>
      <c r="D36" s="2" t="s">
        <v>8</v>
      </c>
      <c r="E36" s="3">
        <v>27</v>
      </c>
      <c r="F36" s="3">
        <v>525</v>
      </c>
      <c r="G36" s="3">
        <v>1261</v>
      </c>
      <c r="H36" s="4">
        <v>193.55</v>
      </c>
      <c r="I36" s="3">
        <v>260</v>
      </c>
      <c r="J36" s="4">
        <f t="shared" si="0"/>
        <v>57.83372483961287</v>
      </c>
    </row>
    <row r="37" spans="1:10" ht="17" customHeight="1" x14ac:dyDescent="0.2">
      <c r="A37" s="2" t="s">
        <v>6</v>
      </c>
      <c r="B37" s="3">
        <v>3</v>
      </c>
      <c r="C37" s="3">
        <v>12</v>
      </c>
      <c r="D37" s="2" t="s">
        <v>9</v>
      </c>
      <c r="E37" s="3">
        <v>21</v>
      </c>
      <c r="F37" s="3">
        <v>716</v>
      </c>
      <c r="G37" s="3">
        <v>1682</v>
      </c>
      <c r="H37" s="4">
        <v>250.54</v>
      </c>
      <c r="I37" s="3">
        <v>340</v>
      </c>
      <c r="J37" s="4">
        <f t="shared" si="0"/>
        <v>57.247891098854495</v>
      </c>
    </row>
    <row r="38" spans="1:10" ht="17" customHeight="1" x14ac:dyDescent="0.2">
      <c r="A38" s="2" t="s">
        <v>6</v>
      </c>
      <c r="B38" s="3">
        <v>3</v>
      </c>
      <c r="C38" s="3">
        <v>14</v>
      </c>
      <c r="D38" s="2" t="s">
        <v>7</v>
      </c>
      <c r="E38" s="3">
        <v>47</v>
      </c>
      <c r="F38" s="3">
        <v>604</v>
      </c>
      <c r="G38" s="3">
        <v>976</v>
      </c>
      <c r="H38" s="4">
        <v>203.17</v>
      </c>
      <c r="I38" s="3">
        <v>280</v>
      </c>
      <c r="J38" s="4">
        <f t="shared" si="0"/>
        <v>56.371927661229613</v>
      </c>
    </row>
    <row r="39" spans="1:10" ht="17" customHeight="1" x14ac:dyDescent="0.2">
      <c r="A39" s="2" t="s">
        <v>6</v>
      </c>
      <c r="B39" s="3">
        <v>3</v>
      </c>
      <c r="C39" s="3">
        <v>14</v>
      </c>
      <c r="D39" s="2" t="s">
        <v>8</v>
      </c>
      <c r="E39" s="3">
        <v>56</v>
      </c>
      <c r="F39" s="3">
        <v>699</v>
      </c>
      <c r="G39" s="3">
        <v>1619</v>
      </c>
      <c r="H39" s="4">
        <v>239.82</v>
      </c>
      <c r="I39" s="3">
        <v>320</v>
      </c>
      <c r="J39" s="4">
        <f t="shared" si="0"/>
        <v>58.223291973478254</v>
      </c>
    </row>
    <row r="40" spans="1:10" ht="17" customHeight="1" x14ac:dyDescent="0.2">
      <c r="A40" s="2" t="s">
        <v>6</v>
      </c>
      <c r="B40" s="3">
        <v>3</v>
      </c>
      <c r="C40" s="3">
        <v>14</v>
      </c>
      <c r="D40" s="2" t="s">
        <v>9</v>
      </c>
      <c r="E40" s="3">
        <v>44</v>
      </c>
      <c r="F40" s="3">
        <v>775</v>
      </c>
      <c r="G40" s="3">
        <v>1782</v>
      </c>
      <c r="H40" s="4">
        <v>267.20999999999998</v>
      </c>
      <c r="I40" s="3">
        <v>370</v>
      </c>
      <c r="J40" s="4">
        <f t="shared" si="0"/>
        <v>56.106389154868396</v>
      </c>
    </row>
    <row r="41" spans="1:10" ht="17" customHeight="1" x14ac:dyDescent="0.2">
      <c r="A41" s="2" t="s">
        <v>6</v>
      </c>
      <c r="B41" s="3">
        <v>3</v>
      </c>
      <c r="C41" s="3">
        <v>15</v>
      </c>
      <c r="D41" s="2" t="s">
        <v>7</v>
      </c>
      <c r="E41" s="3">
        <v>13</v>
      </c>
      <c r="F41" s="3">
        <v>444</v>
      </c>
      <c r="G41" s="3">
        <v>1054</v>
      </c>
      <c r="H41" s="4">
        <v>157.30000000000001</v>
      </c>
      <c r="I41" s="3">
        <v>220</v>
      </c>
      <c r="J41" s="4">
        <f t="shared" si="0"/>
        <v>55.547865914151551</v>
      </c>
    </row>
    <row r="42" spans="1:10" ht="17" customHeight="1" x14ac:dyDescent="0.2">
      <c r="A42" s="2" t="s">
        <v>6</v>
      </c>
      <c r="B42" s="3">
        <v>3</v>
      </c>
      <c r="C42" s="3">
        <v>15</v>
      </c>
      <c r="D42" s="2" t="s">
        <v>8</v>
      </c>
      <c r="E42" s="3">
        <v>8</v>
      </c>
      <c r="F42" s="3">
        <v>371</v>
      </c>
      <c r="G42" s="3">
        <v>899</v>
      </c>
      <c r="H42" s="4">
        <v>131.97</v>
      </c>
      <c r="I42" s="3">
        <v>180</v>
      </c>
      <c r="J42" s="4">
        <f t="shared" si="0"/>
        <v>56.959221947867746</v>
      </c>
    </row>
    <row r="43" spans="1:10" ht="17" customHeight="1" x14ac:dyDescent="0.2">
      <c r="A43" s="2" t="s">
        <v>6</v>
      </c>
      <c r="B43" s="3">
        <v>3</v>
      </c>
      <c r="C43" s="3">
        <v>15</v>
      </c>
      <c r="D43" s="2" t="s">
        <v>9</v>
      </c>
      <c r="E43" s="3">
        <v>13</v>
      </c>
      <c r="F43" s="3">
        <v>511</v>
      </c>
      <c r="G43" s="3">
        <v>1104</v>
      </c>
      <c r="H43" s="4">
        <v>172.58</v>
      </c>
      <c r="I43" s="3">
        <v>250</v>
      </c>
      <c r="J43" s="4">
        <f t="shared" si="0"/>
        <v>53.630493423576361</v>
      </c>
    </row>
    <row r="44" spans="1:10" ht="17" customHeight="1" x14ac:dyDescent="0.2">
      <c r="A44" s="2" t="s">
        <v>6</v>
      </c>
      <c r="B44" s="3">
        <v>3</v>
      </c>
      <c r="C44" s="3">
        <v>13</v>
      </c>
      <c r="D44" s="2" t="s">
        <v>9</v>
      </c>
      <c r="E44" s="3">
        <v>46</v>
      </c>
      <c r="F44" s="3">
        <v>996</v>
      </c>
      <c r="G44" s="3">
        <v>2457</v>
      </c>
      <c r="H44" s="4">
        <v>364.81</v>
      </c>
      <c r="I44" s="3">
        <v>500</v>
      </c>
      <c r="J44" s="4">
        <f t="shared" si="0"/>
        <v>56.683683815780775</v>
      </c>
    </row>
    <row r="45" spans="1:10" ht="17" customHeight="1" x14ac:dyDescent="0.2">
      <c r="A45" s="2" t="s">
        <v>6</v>
      </c>
      <c r="B45" s="3">
        <v>3</v>
      </c>
      <c r="C45" s="3">
        <v>13</v>
      </c>
      <c r="D45" s="2" t="s">
        <v>7</v>
      </c>
      <c r="E45" s="3">
        <v>36</v>
      </c>
      <c r="F45" s="3">
        <v>534</v>
      </c>
      <c r="G45" s="3">
        <v>1296</v>
      </c>
      <c r="H45" s="4">
        <v>196.62</v>
      </c>
      <c r="I45" s="3">
        <v>270</v>
      </c>
      <c r="J45" s="4">
        <f t="shared" si="0"/>
        <v>56.57509140658108</v>
      </c>
    </row>
    <row r="46" spans="1:10" ht="17" customHeight="1" x14ac:dyDescent="0.2">
      <c r="A46" s="2" t="s">
        <v>6</v>
      </c>
      <c r="B46" s="3">
        <v>3</v>
      </c>
      <c r="C46" s="3">
        <v>13</v>
      </c>
      <c r="D46" s="2" t="s">
        <v>8</v>
      </c>
      <c r="E46" s="3">
        <v>38</v>
      </c>
      <c r="F46" s="3">
        <v>704</v>
      </c>
      <c r="G46" s="3">
        <v>1587</v>
      </c>
      <c r="H46" s="4">
        <v>239.32</v>
      </c>
      <c r="I46" s="3">
        <v>330</v>
      </c>
      <c r="J46" s="4">
        <f t="shared" si="0"/>
        <v>56.34123869707458</v>
      </c>
    </row>
    <row r="47" spans="1:10" ht="17" customHeight="1" x14ac:dyDescent="0.2">
      <c r="A47" s="2" t="s">
        <v>6</v>
      </c>
      <c r="B47" s="3">
        <v>4</v>
      </c>
      <c r="C47" s="3">
        <v>16</v>
      </c>
      <c r="D47" s="2" t="s">
        <v>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</row>
    <row r="48" spans="1:10" ht="17" customHeight="1" x14ac:dyDescent="0.2">
      <c r="A48" s="2" t="s">
        <v>6</v>
      </c>
      <c r="B48" s="3">
        <v>4</v>
      </c>
      <c r="C48" s="3">
        <v>16</v>
      </c>
      <c r="D48" s="2" t="s">
        <v>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</row>
    <row r="49" spans="1:10" ht="17" customHeight="1" x14ac:dyDescent="0.2">
      <c r="A49" s="2" t="s">
        <v>6</v>
      </c>
      <c r="B49" s="3">
        <v>4</v>
      </c>
      <c r="C49" s="3">
        <v>16</v>
      </c>
      <c r="D49" s="2" t="s">
        <v>9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</row>
    <row r="50" spans="1:10" ht="17" customHeight="1" x14ac:dyDescent="0.2">
      <c r="A50" s="2" t="s">
        <v>6</v>
      </c>
      <c r="B50" s="3">
        <v>4</v>
      </c>
      <c r="C50" s="3">
        <v>17</v>
      </c>
      <c r="D50" s="2" t="s">
        <v>7</v>
      </c>
      <c r="E50" s="3">
        <v>26</v>
      </c>
      <c r="F50" s="3">
        <v>673</v>
      </c>
      <c r="G50" s="3">
        <v>1197</v>
      </c>
      <c r="H50" s="4">
        <v>218.38</v>
      </c>
      <c r="I50" s="3">
        <v>300</v>
      </c>
      <c r="J50" s="4">
        <f t="shared" si="0"/>
        <v>56.552647824393546</v>
      </c>
    </row>
    <row r="51" spans="1:10" ht="17" customHeight="1" x14ac:dyDescent="0.2">
      <c r="A51" s="2" t="s">
        <v>6</v>
      </c>
      <c r="B51" s="3">
        <v>4</v>
      </c>
      <c r="C51" s="3">
        <v>17</v>
      </c>
      <c r="D51" s="2" t="s">
        <v>9</v>
      </c>
      <c r="E51" s="3">
        <v>43</v>
      </c>
      <c r="F51" s="3">
        <v>666</v>
      </c>
      <c r="G51" s="3">
        <v>1586</v>
      </c>
      <c r="H51" s="4">
        <v>224.13</v>
      </c>
      <c r="I51" s="3">
        <v>310</v>
      </c>
      <c r="J51" s="4">
        <f t="shared" si="0"/>
        <v>56.169380497806387</v>
      </c>
    </row>
    <row r="52" spans="1:10" ht="17" customHeight="1" x14ac:dyDescent="0.2">
      <c r="A52" s="2" t="s">
        <v>6</v>
      </c>
      <c r="B52" s="3">
        <v>4</v>
      </c>
      <c r="C52" s="3">
        <v>17</v>
      </c>
      <c r="D52" s="2" t="s">
        <v>8</v>
      </c>
      <c r="E52" s="3">
        <v>30</v>
      </c>
      <c r="F52" s="3">
        <v>347</v>
      </c>
      <c r="G52" s="3">
        <v>751</v>
      </c>
      <c r="H52" s="4">
        <v>108.99</v>
      </c>
      <c r="I52" s="3">
        <v>160</v>
      </c>
      <c r="J52" s="4">
        <f t="shared" si="0"/>
        <v>52.920995681672871</v>
      </c>
    </row>
    <row r="53" spans="1:10" ht="17" customHeight="1" x14ac:dyDescent="0.2">
      <c r="A53" s="2" t="s">
        <v>6</v>
      </c>
      <c r="B53" s="3">
        <v>4</v>
      </c>
      <c r="C53" s="3">
        <v>18</v>
      </c>
      <c r="D53" s="2" t="s">
        <v>8</v>
      </c>
      <c r="E53" s="3">
        <v>15</v>
      </c>
      <c r="F53" s="3">
        <v>602</v>
      </c>
      <c r="G53" s="3">
        <v>1352</v>
      </c>
      <c r="H53" s="4">
        <v>193.17</v>
      </c>
      <c r="I53" s="3">
        <v>270</v>
      </c>
      <c r="J53" s="4">
        <f t="shared" si="0"/>
        <v>55.582394502132374</v>
      </c>
    </row>
    <row r="54" spans="1:10" ht="17" customHeight="1" x14ac:dyDescent="0.2">
      <c r="A54" s="2" t="s">
        <v>6</v>
      </c>
      <c r="B54" s="3">
        <v>4</v>
      </c>
      <c r="C54" s="3">
        <v>18</v>
      </c>
      <c r="D54" s="2" t="s">
        <v>9</v>
      </c>
      <c r="E54" s="3">
        <v>9</v>
      </c>
      <c r="F54" s="3">
        <v>556</v>
      </c>
      <c r="G54" s="3">
        <v>1572</v>
      </c>
      <c r="H54" s="4">
        <v>229.9</v>
      </c>
      <c r="I54" s="3">
        <v>320</v>
      </c>
      <c r="J54" s="4">
        <f t="shared" si="0"/>
        <v>55.814922961815746</v>
      </c>
    </row>
    <row r="55" spans="1:10" ht="17" customHeight="1" x14ac:dyDescent="0.2">
      <c r="A55" s="2" t="s">
        <v>6</v>
      </c>
      <c r="B55" s="3">
        <v>4</v>
      </c>
      <c r="C55" s="3">
        <v>18</v>
      </c>
      <c r="D55" s="2" t="s">
        <v>7</v>
      </c>
      <c r="E55" s="3">
        <v>10</v>
      </c>
      <c r="F55" s="3">
        <v>440</v>
      </c>
      <c r="G55" s="3">
        <v>916</v>
      </c>
      <c r="H55" s="4">
        <v>128.1</v>
      </c>
      <c r="I55" s="3">
        <v>190</v>
      </c>
      <c r="J55" s="4">
        <f t="shared" si="0"/>
        <v>52.378959319858765</v>
      </c>
    </row>
    <row r="56" spans="1:10" ht="17" customHeight="1" x14ac:dyDescent="0.2">
      <c r="A56" s="2" t="s">
        <v>6</v>
      </c>
      <c r="B56" s="3">
        <v>4</v>
      </c>
      <c r="C56" s="3">
        <v>19</v>
      </c>
      <c r="D56" s="2" t="s">
        <v>8</v>
      </c>
      <c r="E56" s="3">
        <v>40</v>
      </c>
      <c r="F56" s="3">
        <v>805</v>
      </c>
      <c r="G56" s="3">
        <v>1495</v>
      </c>
      <c r="H56" s="4">
        <v>225.76</v>
      </c>
      <c r="I56" s="3">
        <v>310</v>
      </c>
      <c r="J56" s="4">
        <f t="shared" si="0"/>
        <v>56.577875970127913</v>
      </c>
    </row>
    <row r="57" spans="1:10" ht="17" customHeight="1" x14ac:dyDescent="0.2">
      <c r="A57" s="2" t="s">
        <v>6</v>
      </c>
      <c r="B57" s="3">
        <v>4</v>
      </c>
      <c r="C57" s="3">
        <v>19</v>
      </c>
      <c r="D57" s="2" t="s">
        <v>7</v>
      </c>
      <c r="E57" s="3">
        <v>34</v>
      </c>
      <c r="F57" s="3">
        <v>746</v>
      </c>
      <c r="G57" s="3">
        <v>1619</v>
      </c>
      <c r="H57" s="4">
        <v>238.23</v>
      </c>
      <c r="I57" s="3">
        <v>330</v>
      </c>
      <c r="J57" s="4">
        <f t="shared" si="0"/>
        <v>56.084628509126176</v>
      </c>
    </row>
    <row r="58" spans="1:10" ht="17" customHeight="1" x14ac:dyDescent="0.2">
      <c r="A58" s="2" t="s">
        <v>6</v>
      </c>
      <c r="B58" s="3">
        <v>4</v>
      </c>
      <c r="C58" s="3">
        <v>19</v>
      </c>
      <c r="D58" s="2" t="s">
        <v>9</v>
      </c>
      <c r="E58" s="3">
        <v>43</v>
      </c>
      <c r="F58" s="3">
        <v>748</v>
      </c>
      <c r="G58" s="3">
        <v>1533</v>
      </c>
      <c r="H58" s="4">
        <v>226.64</v>
      </c>
      <c r="I58" s="3">
        <v>310</v>
      </c>
      <c r="J58" s="4">
        <f t="shared" si="0"/>
        <v>56.798413403037699</v>
      </c>
    </row>
    <row r="59" spans="1:10" ht="17" customHeight="1" x14ac:dyDescent="0.2">
      <c r="A59" s="2" t="s">
        <v>6</v>
      </c>
      <c r="B59" s="3">
        <v>4</v>
      </c>
      <c r="C59" s="3">
        <v>20</v>
      </c>
      <c r="D59" s="2" t="s">
        <v>7</v>
      </c>
      <c r="E59" s="3">
        <v>19</v>
      </c>
      <c r="F59" s="3">
        <v>587</v>
      </c>
      <c r="G59" s="3">
        <v>1289</v>
      </c>
      <c r="H59" s="4">
        <v>196.57</v>
      </c>
      <c r="I59" s="3">
        <v>260</v>
      </c>
      <c r="J59" s="4">
        <f t="shared" si="0"/>
        <v>58.736116206265578</v>
      </c>
    </row>
    <row r="60" spans="1:10" ht="17" customHeight="1" x14ac:dyDescent="0.2">
      <c r="A60" s="2" t="s">
        <v>6</v>
      </c>
      <c r="B60" s="3">
        <v>4</v>
      </c>
      <c r="C60" s="3">
        <v>20</v>
      </c>
      <c r="D60" s="2" t="s">
        <v>8</v>
      </c>
      <c r="E60" s="3">
        <v>20</v>
      </c>
      <c r="F60" s="3">
        <v>473</v>
      </c>
      <c r="G60" s="3">
        <v>1086</v>
      </c>
      <c r="H60" s="4">
        <v>168.58</v>
      </c>
      <c r="I60" s="3">
        <v>240</v>
      </c>
      <c r="J60" s="4">
        <f t="shared" si="0"/>
        <v>54.570275266944449</v>
      </c>
    </row>
    <row r="61" spans="1:10" ht="17" customHeight="1" x14ac:dyDescent="0.2">
      <c r="A61" s="2" t="s">
        <v>6</v>
      </c>
      <c r="B61" s="3">
        <v>4</v>
      </c>
      <c r="C61" s="3">
        <v>20</v>
      </c>
      <c r="D61" s="2" t="s">
        <v>9</v>
      </c>
      <c r="E61" s="3">
        <v>27</v>
      </c>
      <c r="F61" s="3">
        <v>563</v>
      </c>
      <c r="G61" s="3">
        <v>1481</v>
      </c>
      <c r="H61" s="4">
        <v>222.72</v>
      </c>
      <c r="I61" s="3">
        <v>300</v>
      </c>
      <c r="J61" s="4">
        <f t="shared" si="0"/>
        <v>57.676553363169383</v>
      </c>
    </row>
    <row r="62" spans="1:10" ht="17" customHeight="1" x14ac:dyDescent="0.2">
      <c r="A62" s="2" t="s">
        <v>10</v>
      </c>
      <c r="B62" s="3">
        <v>1</v>
      </c>
      <c r="C62" s="3">
        <v>1</v>
      </c>
      <c r="D62" s="2" t="s">
        <v>7</v>
      </c>
      <c r="E62" s="3">
        <v>49</v>
      </c>
      <c r="F62" s="3">
        <v>499</v>
      </c>
      <c r="G62" s="3">
        <v>1130</v>
      </c>
      <c r="H62" s="4">
        <v>192.7</v>
      </c>
      <c r="I62" s="3">
        <v>270</v>
      </c>
      <c r="J62" s="4">
        <f t="shared" si="0"/>
        <v>55.4471575325408</v>
      </c>
    </row>
    <row r="63" spans="1:10" ht="17" customHeight="1" x14ac:dyDescent="0.2">
      <c r="A63" s="2" t="s">
        <v>10</v>
      </c>
      <c r="B63" s="3">
        <v>1</v>
      </c>
      <c r="C63" s="3">
        <v>1</v>
      </c>
      <c r="D63" s="2" t="s">
        <v>8</v>
      </c>
      <c r="E63" s="3">
        <v>46</v>
      </c>
      <c r="F63" s="3">
        <v>523</v>
      </c>
      <c r="G63" s="3">
        <v>1128</v>
      </c>
      <c r="H63" s="4">
        <v>168.38</v>
      </c>
      <c r="I63" s="3">
        <v>230</v>
      </c>
      <c r="J63" s="4">
        <f t="shared" si="0"/>
        <v>56.875339997718683</v>
      </c>
    </row>
    <row r="64" spans="1:10" ht="17" customHeight="1" x14ac:dyDescent="0.2">
      <c r="A64" s="2" t="s">
        <v>10</v>
      </c>
      <c r="B64" s="3">
        <v>1</v>
      </c>
      <c r="C64" s="3">
        <v>1</v>
      </c>
      <c r="D64" s="2" t="s">
        <v>9</v>
      </c>
      <c r="E64" s="3">
        <v>54</v>
      </c>
      <c r="F64" s="3">
        <v>498</v>
      </c>
      <c r="G64" s="3">
        <v>1176</v>
      </c>
      <c r="H64" s="4">
        <v>187.54</v>
      </c>
      <c r="I64" s="3">
        <v>260</v>
      </c>
      <c r="J64" s="4">
        <f t="shared" si="0"/>
        <v>56.037906258956326</v>
      </c>
    </row>
    <row r="65" spans="1:10" ht="17" customHeight="1" x14ac:dyDescent="0.2">
      <c r="A65" s="2" t="s">
        <v>10</v>
      </c>
      <c r="B65" s="3">
        <v>1</v>
      </c>
      <c r="C65" s="3">
        <v>2</v>
      </c>
      <c r="D65" s="2" t="s">
        <v>7</v>
      </c>
      <c r="E65" s="3">
        <v>20</v>
      </c>
      <c r="F65" s="3">
        <v>776</v>
      </c>
      <c r="G65" s="3">
        <v>1869</v>
      </c>
      <c r="H65" s="4">
        <v>302.93</v>
      </c>
      <c r="I65" s="3">
        <v>420</v>
      </c>
      <c r="J65" s="4">
        <f t="shared" si="0"/>
        <v>56.034349055524231</v>
      </c>
    </row>
    <row r="66" spans="1:10" ht="17" customHeight="1" x14ac:dyDescent="0.2">
      <c r="A66" s="2" t="s">
        <v>10</v>
      </c>
      <c r="B66" s="3">
        <v>1</v>
      </c>
      <c r="C66" s="3">
        <v>2</v>
      </c>
      <c r="D66" s="2" t="s">
        <v>8</v>
      </c>
      <c r="E66" s="3">
        <v>23</v>
      </c>
      <c r="F66" s="3">
        <v>338</v>
      </c>
      <c r="G66" s="3">
        <v>815</v>
      </c>
      <c r="H66" s="4">
        <v>114.26</v>
      </c>
      <c r="I66" s="3">
        <v>110</v>
      </c>
      <c r="J66" s="4">
        <f t="shared" ref="J66:J112" si="1">(H66/I66)*(1/453.59)*35239.1</f>
        <v>80.698018555002619</v>
      </c>
    </row>
    <row r="67" spans="1:10" ht="17" customHeight="1" x14ac:dyDescent="0.2">
      <c r="A67" s="2" t="s">
        <v>10</v>
      </c>
      <c r="B67" s="3">
        <v>1</v>
      </c>
      <c r="C67" s="3">
        <v>2</v>
      </c>
      <c r="D67" s="2" t="s">
        <v>9</v>
      </c>
      <c r="E67" s="3">
        <v>23</v>
      </c>
      <c r="F67" s="3">
        <v>571</v>
      </c>
      <c r="G67" s="3">
        <v>1297</v>
      </c>
      <c r="H67" s="4">
        <v>197.34</v>
      </c>
      <c r="I67" s="3">
        <v>280</v>
      </c>
      <c r="J67" s="4">
        <f t="shared" si="1"/>
        <v>54.754324972520813</v>
      </c>
    </row>
    <row r="68" spans="1:10" ht="17" customHeight="1" x14ac:dyDescent="0.2">
      <c r="A68" s="2" t="s">
        <v>10</v>
      </c>
      <c r="B68" s="3">
        <v>1</v>
      </c>
      <c r="C68" s="3">
        <v>3</v>
      </c>
      <c r="D68" s="2" t="s">
        <v>7</v>
      </c>
      <c r="E68" s="3">
        <v>8</v>
      </c>
      <c r="F68" s="3">
        <v>72</v>
      </c>
      <c r="G68" s="3">
        <v>116</v>
      </c>
      <c r="H68" s="4">
        <v>17.45</v>
      </c>
      <c r="I68" s="3">
        <v>10</v>
      </c>
      <c r="J68" s="4">
        <f t="shared" si="1"/>
        <v>135.56786855971251</v>
      </c>
    </row>
    <row r="69" spans="1:10" ht="17" customHeight="1" x14ac:dyDescent="0.2">
      <c r="A69" s="2" t="s">
        <v>10</v>
      </c>
      <c r="B69" s="3">
        <v>1</v>
      </c>
      <c r="C69" s="3">
        <v>3</v>
      </c>
      <c r="D69" s="2" t="s">
        <v>8</v>
      </c>
      <c r="E69" s="3">
        <v>15</v>
      </c>
      <c r="F69" s="3">
        <v>347</v>
      </c>
      <c r="G69" s="3">
        <v>859</v>
      </c>
      <c r="H69" s="4">
        <v>117.86</v>
      </c>
      <c r="I69" s="3">
        <v>170</v>
      </c>
      <c r="J69" s="4">
        <f t="shared" si="1"/>
        <v>53.861550609970394</v>
      </c>
    </row>
    <row r="70" spans="1:10" ht="17" customHeight="1" x14ac:dyDescent="0.2">
      <c r="A70" s="2" t="s">
        <v>10</v>
      </c>
      <c r="B70" s="3">
        <v>1</v>
      </c>
      <c r="C70" s="3">
        <v>3</v>
      </c>
      <c r="D70" s="2" t="s">
        <v>9</v>
      </c>
      <c r="E70" s="3">
        <v>11</v>
      </c>
      <c r="F70" s="3">
        <v>440</v>
      </c>
      <c r="G70" s="3">
        <v>982</v>
      </c>
      <c r="H70" s="4">
        <v>152.37</v>
      </c>
      <c r="I70" s="3">
        <v>210</v>
      </c>
      <c r="J70" s="4">
        <f t="shared" si="1"/>
        <v>56.36915304255259</v>
      </c>
    </row>
    <row r="71" spans="1:10" ht="17" customHeight="1" x14ac:dyDescent="0.2">
      <c r="A71" s="2" t="s">
        <v>10</v>
      </c>
      <c r="B71" s="3">
        <v>1</v>
      </c>
      <c r="C71" s="3">
        <v>4</v>
      </c>
      <c r="D71" s="2" t="s">
        <v>7</v>
      </c>
      <c r="E71" s="3">
        <v>38</v>
      </c>
      <c r="F71" s="3">
        <v>657</v>
      </c>
      <c r="G71" s="3">
        <v>1495</v>
      </c>
      <c r="H71" s="4">
        <v>242.05</v>
      </c>
      <c r="I71" s="3">
        <v>330</v>
      </c>
      <c r="J71" s="4">
        <f t="shared" si="1"/>
        <v>56.983941277899483</v>
      </c>
    </row>
    <row r="72" spans="1:10" ht="17" customHeight="1" x14ac:dyDescent="0.2">
      <c r="A72" s="2" t="s">
        <v>10</v>
      </c>
      <c r="B72" s="3">
        <v>1</v>
      </c>
      <c r="C72" s="3">
        <v>4</v>
      </c>
      <c r="D72" s="2" t="s">
        <v>8</v>
      </c>
      <c r="E72" s="3">
        <v>35</v>
      </c>
      <c r="F72" s="3">
        <v>547</v>
      </c>
      <c r="G72" s="3">
        <v>1262</v>
      </c>
      <c r="H72" s="4">
        <v>207.71</v>
      </c>
      <c r="I72" s="3">
        <v>280</v>
      </c>
      <c r="J72" s="4">
        <f t="shared" si="1"/>
        <v>57.631604540601494</v>
      </c>
    </row>
    <row r="73" spans="1:10" ht="17" customHeight="1" x14ac:dyDescent="0.2">
      <c r="A73" s="2" t="s">
        <v>10</v>
      </c>
      <c r="B73" s="3">
        <v>1</v>
      </c>
      <c r="C73" s="3">
        <v>4</v>
      </c>
      <c r="D73" s="2" t="s">
        <v>9</v>
      </c>
      <c r="E73" s="3">
        <v>37</v>
      </c>
      <c r="F73" s="3">
        <v>282</v>
      </c>
      <c r="G73" s="3">
        <v>572</v>
      </c>
      <c r="H73" s="4">
        <v>101.76</v>
      </c>
      <c r="I73" s="3">
        <v>140</v>
      </c>
      <c r="J73" s="4">
        <f t="shared" si="1"/>
        <v>56.469039314925688</v>
      </c>
    </row>
    <row r="74" spans="1:10" ht="17" customHeight="1" x14ac:dyDescent="0.2">
      <c r="A74" s="2" t="s">
        <v>10</v>
      </c>
      <c r="B74" s="3">
        <v>1</v>
      </c>
      <c r="C74" s="3">
        <v>5</v>
      </c>
      <c r="D74" s="2" t="s">
        <v>7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</row>
    <row r="75" spans="1:10" ht="17" customHeight="1" x14ac:dyDescent="0.2">
      <c r="A75" s="2" t="s">
        <v>10</v>
      </c>
      <c r="B75" s="3">
        <v>1</v>
      </c>
      <c r="C75" s="3">
        <v>5</v>
      </c>
      <c r="D75" s="2" t="s">
        <v>8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</row>
    <row r="76" spans="1:10" ht="17" customHeight="1" x14ac:dyDescent="0.2">
      <c r="A76" s="2" t="s">
        <v>10</v>
      </c>
      <c r="B76" s="3">
        <v>1</v>
      </c>
      <c r="C76" s="3">
        <v>5</v>
      </c>
      <c r="D76" s="2" t="s">
        <v>9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</row>
    <row r="77" spans="1:10" ht="17" customHeight="1" x14ac:dyDescent="0.2">
      <c r="A77" s="2" t="s">
        <v>10</v>
      </c>
      <c r="B77" s="3">
        <v>2</v>
      </c>
      <c r="C77" s="3">
        <v>6</v>
      </c>
      <c r="D77" s="2" t="s">
        <v>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</row>
    <row r="78" spans="1:10" ht="17" customHeight="1" x14ac:dyDescent="0.2">
      <c r="A78" s="2" t="s">
        <v>10</v>
      </c>
      <c r="B78" s="3">
        <v>2</v>
      </c>
      <c r="C78" s="3">
        <v>6</v>
      </c>
      <c r="D78" s="2" t="s">
        <v>8</v>
      </c>
      <c r="E78" s="3"/>
      <c r="F78" s="5"/>
      <c r="G78" s="5"/>
      <c r="H78" s="4"/>
      <c r="I78" s="5"/>
      <c r="J78" s="5"/>
    </row>
    <row r="79" spans="1:10" ht="17" customHeight="1" x14ac:dyDescent="0.2">
      <c r="A79" s="2" t="s">
        <v>10</v>
      </c>
      <c r="B79" s="3">
        <v>2</v>
      </c>
      <c r="C79" s="3">
        <v>6</v>
      </c>
      <c r="D79" s="2" t="s">
        <v>9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</row>
    <row r="80" spans="1:10" ht="17" customHeight="1" x14ac:dyDescent="0.2">
      <c r="A80" s="2" t="s">
        <v>10</v>
      </c>
      <c r="B80" s="3">
        <v>2</v>
      </c>
      <c r="C80" s="3">
        <v>7</v>
      </c>
      <c r="D80" s="2" t="s">
        <v>7</v>
      </c>
      <c r="E80" s="3">
        <v>8</v>
      </c>
      <c r="F80" s="3">
        <v>199</v>
      </c>
      <c r="G80" s="3">
        <v>491</v>
      </c>
      <c r="H80" s="4">
        <v>76.53</v>
      </c>
      <c r="I80" s="3">
        <v>110</v>
      </c>
      <c r="J80" s="4">
        <f t="shared" si="1"/>
        <v>54.050580780801241</v>
      </c>
    </row>
    <row r="81" spans="1:10" ht="17" customHeight="1" x14ac:dyDescent="0.2">
      <c r="A81" s="2" t="s">
        <v>10</v>
      </c>
      <c r="B81" s="3">
        <v>2</v>
      </c>
      <c r="C81" s="3">
        <v>7</v>
      </c>
      <c r="D81" s="2" t="s">
        <v>8</v>
      </c>
      <c r="E81" s="3">
        <v>8</v>
      </c>
      <c r="F81" s="3">
        <v>232</v>
      </c>
      <c r="G81" s="3">
        <v>682</v>
      </c>
      <c r="H81" s="4">
        <v>99.61</v>
      </c>
      <c r="I81" s="3">
        <v>140</v>
      </c>
      <c r="J81" s="4">
        <f t="shared" si="1"/>
        <v>55.275953283802558</v>
      </c>
    </row>
    <row r="82" spans="1:10" ht="17" customHeight="1" x14ac:dyDescent="0.2">
      <c r="A82" s="2" t="s">
        <v>10</v>
      </c>
      <c r="B82" s="3">
        <v>2</v>
      </c>
      <c r="C82" s="3">
        <v>7</v>
      </c>
      <c r="D82" s="2" t="s">
        <v>9</v>
      </c>
      <c r="E82" s="3">
        <v>13</v>
      </c>
      <c r="F82" s="3">
        <v>531</v>
      </c>
      <c r="G82" s="3">
        <v>1263</v>
      </c>
      <c r="H82" s="4">
        <v>195.16</v>
      </c>
      <c r="I82" s="3">
        <v>270</v>
      </c>
      <c r="J82" s="4">
        <f t="shared" si="1"/>
        <v>56.154993586147711</v>
      </c>
    </row>
    <row r="83" spans="1:10" ht="17" customHeight="1" x14ac:dyDescent="0.2">
      <c r="A83" s="2" t="s">
        <v>10</v>
      </c>
      <c r="B83" s="3">
        <v>2</v>
      </c>
      <c r="C83" s="3">
        <v>8</v>
      </c>
      <c r="D83" s="2" t="s">
        <v>7</v>
      </c>
      <c r="E83" s="3">
        <v>48</v>
      </c>
      <c r="F83" s="3">
        <v>821</v>
      </c>
      <c r="G83" s="3">
        <v>2055</v>
      </c>
      <c r="H83" s="4">
        <v>321.47000000000003</v>
      </c>
      <c r="I83" s="3">
        <v>430</v>
      </c>
      <c r="J83" s="4">
        <f t="shared" si="1"/>
        <v>58.080899188233204</v>
      </c>
    </row>
    <row r="84" spans="1:10" ht="17" customHeight="1" x14ac:dyDescent="0.2">
      <c r="A84" s="2" t="s">
        <v>10</v>
      </c>
      <c r="B84" s="3">
        <v>2</v>
      </c>
      <c r="C84" s="3">
        <v>8</v>
      </c>
      <c r="D84" s="2" t="s">
        <v>8</v>
      </c>
      <c r="E84" s="3">
        <v>48</v>
      </c>
      <c r="F84" s="3">
        <v>816</v>
      </c>
      <c r="G84" s="3">
        <v>2031</v>
      </c>
      <c r="H84" s="4">
        <v>332.94</v>
      </c>
      <c r="I84" s="3">
        <v>450</v>
      </c>
      <c r="J84" s="4">
        <f t="shared" si="1"/>
        <v>57.479740411678684</v>
      </c>
    </row>
    <row r="85" spans="1:10" ht="17" customHeight="1" x14ac:dyDescent="0.2">
      <c r="A85" s="2" t="s">
        <v>10</v>
      </c>
      <c r="B85" s="3">
        <v>2</v>
      </c>
      <c r="C85" s="3">
        <v>8</v>
      </c>
      <c r="D85" s="2" t="s">
        <v>9</v>
      </c>
      <c r="E85" s="3">
        <v>54</v>
      </c>
      <c r="F85" s="3">
        <v>414</v>
      </c>
      <c r="G85" s="3">
        <v>1036</v>
      </c>
      <c r="H85" s="4">
        <v>170.84</v>
      </c>
      <c r="I85" s="3">
        <v>240</v>
      </c>
      <c r="J85" s="4">
        <f t="shared" si="1"/>
        <v>55.30184972478817</v>
      </c>
    </row>
    <row r="86" spans="1:10" ht="17" customHeight="1" x14ac:dyDescent="0.2">
      <c r="A86" s="2" t="s">
        <v>10</v>
      </c>
      <c r="B86" s="3">
        <v>2</v>
      </c>
      <c r="C86" s="3">
        <v>9</v>
      </c>
      <c r="D86" s="2" t="s">
        <v>7</v>
      </c>
      <c r="E86" s="3">
        <v>27</v>
      </c>
      <c r="F86" s="3">
        <v>922</v>
      </c>
      <c r="G86" s="3">
        <v>2231</v>
      </c>
      <c r="H86" s="4">
        <v>372.06</v>
      </c>
      <c r="I86" s="3">
        <v>500</v>
      </c>
      <c r="J86" s="4">
        <f t="shared" si="1"/>
        <v>57.810178998655175</v>
      </c>
    </row>
    <row r="87" spans="1:10" ht="17" customHeight="1" x14ac:dyDescent="0.2">
      <c r="A87" s="2" t="s">
        <v>10</v>
      </c>
      <c r="B87" s="3">
        <v>2</v>
      </c>
      <c r="C87" s="3">
        <v>9</v>
      </c>
      <c r="D87" s="2" t="s">
        <v>8</v>
      </c>
      <c r="E87" s="3">
        <v>28</v>
      </c>
      <c r="F87" s="3">
        <v>772</v>
      </c>
      <c r="G87" s="3">
        <v>2033</v>
      </c>
      <c r="H87" s="4">
        <v>345.94</v>
      </c>
      <c r="I87" s="3">
        <v>460</v>
      </c>
      <c r="J87" s="4">
        <f t="shared" si="1"/>
        <v>58.425748660205493</v>
      </c>
    </row>
    <row r="88" spans="1:10" ht="17" customHeight="1" x14ac:dyDescent="0.2">
      <c r="A88" s="2" t="s">
        <v>10</v>
      </c>
      <c r="B88" s="3">
        <v>2</v>
      </c>
      <c r="C88" s="3">
        <v>9</v>
      </c>
      <c r="D88" s="2" t="s">
        <v>9</v>
      </c>
      <c r="E88" s="3">
        <v>14</v>
      </c>
      <c r="F88" s="3">
        <v>181</v>
      </c>
      <c r="G88" s="3">
        <v>425</v>
      </c>
      <c r="H88" s="4">
        <v>71.05</v>
      </c>
      <c r="I88" s="3">
        <v>100</v>
      </c>
      <c r="J88" s="4">
        <f t="shared" si="1"/>
        <v>55.198263960845701</v>
      </c>
    </row>
    <row r="89" spans="1:10" ht="17" customHeight="1" x14ac:dyDescent="0.2">
      <c r="A89" s="2" t="s">
        <v>10</v>
      </c>
      <c r="B89" s="3">
        <v>2</v>
      </c>
      <c r="C89" s="3">
        <v>10</v>
      </c>
      <c r="D89" s="2" t="s">
        <v>7</v>
      </c>
      <c r="E89" s="3">
        <v>46</v>
      </c>
      <c r="F89" s="3">
        <v>501</v>
      </c>
      <c r="G89" s="3">
        <v>1186</v>
      </c>
      <c r="H89" s="4">
        <v>196.45</v>
      </c>
      <c r="I89" s="3">
        <v>270</v>
      </c>
      <c r="J89" s="4">
        <f t="shared" si="1"/>
        <v>56.526175906941575</v>
      </c>
    </row>
    <row r="90" spans="1:10" ht="17" customHeight="1" x14ac:dyDescent="0.2">
      <c r="A90" s="2" t="s">
        <v>10</v>
      </c>
      <c r="B90" s="3">
        <v>2</v>
      </c>
      <c r="C90" s="3">
        <v>10</v>
      </c>
      <c r="D90" s="2" t="s">
        <v>8</v>
      </c>
      <c r="E90" s="3">
        <v>28</v>
      </c>
      <c r="F90" s="3">
        <v>652</v>
      </c>
      <c r="G90" s="3">
        <v>1656</v>
      </c>
      <c r="H90" s="4">
        <v>255.6</v>
      </c>
      <c r="I90" s="3">
        <v>350</v>
      </c>
      <c r="J90" s="4">
        <f t="shared" si="1"/>
        <v>56.735402707920628</v>
      </c>
    </row>
    <row r="91" spans="1:10" ht="17" customHeight="1" x14ac:dyDescent="0.2">
      <c r="A91" s="2" t="s">
        <v>10</v>
      </c>
      <c r="B91" s="3">
        <v>2</v>
      </c>
      <c r="C91" s="3">
        <v>10</v>
      </c>
      <c r="D91" s="2" t="s">
        <v>9</v>
      </c>
      <c r="E91" s="3">
        <v>52</v>
      </c>
      <c r="F91" s="3">
        <v>408</v>
      </c>
      <c r="G91" s="3">
        <v>990</v>
      </c>
      <c r="H91" s="4">
        <v>159.88</v>
      </c>
      <c r="I91" s="3">
        <v>220</v>
      </c>
      <c r="J91" s="4">
        <f t="shared" si="1"/>
        <v>56.458949792463748</v>
      </c>
    </row>
    <row r="92" spans="1:10" ht="17" customHeight="1" x14ac:dyDescent="0.2">
      <c r="A92" s="2" t="s">
        <v>10</v>
      </c>
      <c r="B92" s="3">
        <v>3</v>
      </c>
      <c r="C92" s="3">
        <v>11</v>
      </c>
      <c r="D92" s="2" t="s">
        <v>7</v>
      </c>
      <c r="E92" s="3">
        <v>20</v>
      </c>
      <c r="F92" s="3">
        <v>321</v>
      </c>
      <c r="G92" s="3">
        <v>852</v>
      </c>
      <c r="H92" s="4">
        <v>146.12</v>
      </c>
      <c r="I92" s="3">
        <v>200</v>
      </c>
      <c r="J92" s="4">
        <f t="shared" si="1"/>
        <v>56.759819352278491</v>
      </c>
    </row>
    <row r="93" spans="1:10" ht="17" customHeight="1" x14ac:dyDescent="0.2">
      <c r="A93" s="2" t="s">
        <v>10</v>
      </c>
      <c r="B93" s="3">
        <v>3</v>
      </c>
      <c r="C93" s="3">
        <v>11</v>
      </c>
      <c r="D93" s="2" t="s">
        <v>8</v>
      </c>
      <c r="E93" s="3">
        <v>24</v>
      </c>
      <c r="F93" s="3">
        <v>622</v>
      </c>
      <c r="G93" s="3">
        <v>1466</v>
      </c>
      <c r="H93" s="4">
        <v>242.36</v>
      </c>
      <c r="I93" s="3">
        <v>330</v>
      </c>
      <c r="J93" s="4">
        <f t="shared" si="1"/>
        <v>57.056922157040766</v>
      </c>
    </row>
    <row r="94" spans="1:10" ht="17" customHeight="1" x14ac:dyDescent="0.2">
      <c r="A94" s="2" t="s">
        <v>10</v>
      </c>
      <c r="B94" s="3">
        <v>3</v>
      </c>
      <c r="C94" s="3">
        <v>11</v>
      </c>
      <c r="D94" s="2" t="s">
        <v>9</v>
      </c>
      <c r="E94" s="3">
        <v>16</v>
      </c>
      <c r="F94" s="3">
        <v>483</v>
      </c>
      <c r="G94" s="3">
        <v>1138</v>
      </c>
      <c r="H94" s="4">
        <v>163.53</v>
      </c>
      <c r="I94" s="3">
        <v>220</v>
      </c>
      <c r="J94" s="4">
        <f t="shared" si="1"/>
        <v>57.747886286975231</v>
      </c>
    </row>
    <row r="95" spans="1:10" ht="17" customHeight="1" x14ac:dyDescent="0.2">
      <c r="A95" s="2" t="s">
        <v>10</v>
      </c>
      <c r="B95" s="3">
        <v>3</v>
      </c>
      <c r="C95" s="3">
        <v>12</v>
      </c>
      <c r="D95" s="2" t="s">
        <v>7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</row>
    <row r="96" spans="1:10" ht="17" customHeight="1" x14ac:dyDescent="0.2">
      <c r="A96" s="2" t="s">
        <v>10</v>
      </c>
      <c r="B96" s="3">
        <v>3</v>
      </c>
      <c r="C96" s="3">
        <v>12</v>
      </c>
      <c r="D96" s="2" t="s">
        <v>8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</row>
    <row r="97" spans="1:10" ht="17" customHeight="1" x14ac:dyDescent="0.2">
      <c r="A97" s="2" t="s">
        <v>10</v>
      </c>
      <c r="B97" s="3">
        <v>3</v>
      </c>
      <c r="C97" s="3">
        <v>12</v>
      </c>
      <c r="D97" s="2" t="s">
        <v>9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</row>
    <row r="98" spans="1:10" ht="17" customHeight="1" x14ac:dyDescent="0.2">
      <c r="A98" s="2" t="s">
        <v>10</v>
      </c>
      <c r="B98" s="3">
        <v>3</v>
      </c>
      <c r="C98" s="3">
        <v>13</v>
      </c>
      <c r="D98" s="2" t="s">
        <v>7</v>
      </c>
      <c r="E98" s="3">
        <v>37</v>
      </c>
      <c r="F98" s="3">
        <v>515</v>
      </c>
      <c r="G98" s="3">
        <v>1126</v>
      </c>
      <c r="H98" s="4">
        <v>157.11000000000001</v>
      </c>
      <c r="I98" s="3">
        <v>210</v>
      </c>
      <c r="J98" s="4">
        <f t="shared" si="1"/>
        <v>58.1227120464359</v>
      </c>
    </row>
    <row r="99" spans="1:10" ht="17" customHeight="1" x14ac:dyDescent="0.2">
      <c r="A99" s="2" t="s">
        <v>10</v>
      </c>
      <c r="B99" s="3">
        <v>3</v>
      </c>
      <c r="C99" s="3">
        <v>13</v>
      </c>
      <c r="D99" s="2" t="s">
        <v>8</v>
      </c>
      <c r="E99" s="3">
        <v>42</v>
      </c>
      <c r="F99" s="3">
        <v>649</v>
      </c>
      <c r="G99" s="3">
        <v>1572</v>
      </c>
      <c r="H99" s="4">
        <v>242.97</v>
      </c>
      <c r="I99" s="3">
        <v>340</v>
      </c>
      <c r="J99" s="4">
        <f t="shared" si="1"/>
        <v>55.518161173020985</v>
      </c>
    </row>
    <row r="100" spans="1:10" ht="17" customHeight="1" x14ac:dyDescent="0.2">
      <c r="A100" s="2" t="s">
        <v>10</v>
      </c>
      <c r="B100" s="3">
        <v>3</v>
      </c>
      <c r="C100" s="3">
        <v>13</v>
      </c>
      <c r="D100" s="2" t="s">
        <v>9</v>
      </c>
      <c r="E100" s="3">
        <v>40</v>
      </c>
      <c r="F100" s="3">
        <v>466</v>
      </c>
      <c r="G100" s="3">
        <v>1181</v>
      </c>
      <c r="H100" s="4">
        <v>189.94</v>
      </c>
      <c r="I100" s="3">
        <v>260</v>
      </c>
      <c r="J100" s="4">
        <f t="shared" si="1"/>
        <v>56.755038470865763</v>
      </c>
    </row>
    <row r="101" spans="1:10" ht="17" customHeight="1" x14ac:dyDescent="0.2">
      <c r="A101" s="2" t="s">
        <v>10</v>
      </c>
      <c r="B101" s="3">
        <v>3</v>
      </c>
      <c r="C101" s="3">
        <v>14</v>
      </c>
      <c r="D101" s="2" t="s">
        <v>7</v>
      </c>
      <c r="E101" s="3">
        <v>36</v>
      </c>
      <c r="F101" s="3">
        <v>371</v>
      </c>
      <c r="G101" s="3">
        <v>895</v>
      </c>
      <c r="H101" s="4">
        <v>144.5</v>
      </c>
      <c r="I101" s="3">
        <v>210</v>
      </c>
      <c r="J101" s="4">
        <f t="shared" si="1"/>
        <v>53.457653177455207</v>
      </c>
    </row>
    <row r="102" spans="1:10" ht="17" customHeight="1" x14ac:dyDescent="0.2">
      <c r="A102" s="2" t="s">
        <v>10</v>
      </c>
      <c r="B102" s="3">
        <v>3</v>
      </c>
      <c r="C102" s="3">
        <v>14</v>
      </c>
      <c r="D102" s="2" t="s">
        <v>8</v>
      </c>
      <c r="E102" s="3">
        <v>42</v>
      </c>
      <c r="F102" s="3">
        <v>525</v>
      </c>
      <c r="G102" s="3">
        <v>1202</v>
      </c>
      <c r="H102" s="4">
        <v>172.86</v>
      </c>
      <c r="I102" s="3">
        <v>240</v>
      </c>
      <c r="J102" s="4">
        <f t="shared" si="1"/>
        <v>55.95573485967504</v>
      </c>
    </row>
    <row r="103" spans="1:10" ht="17" customHeight="1" x14ac:dyDescent="0.2">
      <c r="A103" s="2" t="s">
        <v>10</v>
      </c>
      <c r="B103" s="3">
        <v>3</v>
      </c>
      <c r="C103" s="3">
        <v>14</v>
      </c>
      <c r="D103" s="2" t="s">
        <v>9</v>
      </c>
      <c r="E103" s="3">
        <v>43</v>
      </c>
      <c r="F103" s="3">
        <v>537</v>
      </c>
      <c r="G103" s="3">
        <v>1287</v>
      </c>
      <c r="H103" s="4">
        <v>203.92</v>
      </c>
      <c r="I103" s="3">
        <v>290</v>
      </c>
      <c r="J103" s="4">
        <f t="shared" si="1"/>
        <v>54.628988749523906</v>
      </c>
    </row>
    <row r="104" spans="1:10" ht="17" customHeight="1" x14ac:dyDescent="0.2">
      <c r="A104" s="2" t="s">
        <v>10</v>
      </c>
      <c r="B104" s="3">
        <v>3</v>
      </c>
      <c r="C104" s="3">
        <v>15</v>
      </c>
      <c r="D104" s="2" t="s">
        <v>7</v>
      </c>
      <c r="E104" s="3">
        <v>8</v>
      </c>
      <c r="F104" s="3">
        <v>441</v>
      </c>
      <c r="G104" s="3">
        <v>1204</v>
      </c>
      <c r="H104" s="4">
        <v>196.2</v>
      </c>
      <c r="I104" s="3">
        <v>280</v>
      </c>
      <c r="J104" s="4">
        <f t="shared" si="1"/>
        <v>54.438018443339324</v>
      </c>
    </row>
    <row r="105" spans="1:10" ht="17" customHeight="1" x14ac:dyDescent="0.2">
      <c r="A105" s="2" t="s">
        <v>10</v>
      </c>
      <c r="B105" s="3">
        <v>3</v>
      </c>
      <c r="C105" s="3">
        <v>15</v>
      </c>
      <c r="D105" s="2" t="s">
        <v>8</v>
      </c>
      <c r="E105" s="3">
        <v>10</v>
      </c>
      <c r="F105" s="3">
        <v>229</v>
      </c>
      <c r="G105" s="3">
        <v>586</v>
      </c>
      <c r="H105" s="4">
        <v>89.94</v>
      </c>
      <c r="I105" s="3">
        <v>140</v>
      </c>
      <c r="J105" s="4">
        <f t="shared" si="1"/>
        <v>49.909840762425482</v>
      </c>
    </row>
    <row r="106" spans="1:10" ht="17" customHeight="1" x14ac:dyDescent="0.2">
      <c r="A106" s="2" t="s">
        <v>10</v>
      </c>
      <c r="B106" s="3">
        <v>3</v>
      </c>
      <c r="C106" s="3">
        <v>15</v>
      </c>
      <c r="D106" s="2" t="s">
        <v>9</v>
      </c>
      <c r="E106" s="3">
        <v>8</v>
      </c>
      <c r="F106" s="3">
        <v>384</v>
      </c>
      <c r="G106" s="3">
        <v>948</v>
      </c>
      <c r="H106" s="4">
        <v>144.52000000000001</v>
      </c>
      <c r="I106" s="3">
        <v>200</v>
      </c>
      <c r="J106" s="4">
        <f t="shared" si="1"/>
        <v>56.138304768623648</v>
      </c>
    </row>
    <row r="107" spans="1:10" ht="17" customHeight="1" x14ac:dyDescent="0.2">
      <c r="A107" s="2" t="s">
        <v>10</v>
      </c>
      <c r="B107" s="3">
        <v>4</v>
      </c>
      <c r="C107" s="3">
        <v>16</v>
      </c>
      <c r="D107" s="2" t="s">
        <v>7</v>
      </c>
      <c r="E107" s="3">
        <v>32</v>
      </c>
      <c r="F107" s="3">
        <v>353</v>
      </c>
      <c r="G107" s="3">
        <v>826</v>
      </c>
      <c r="H107" s="4">
        <v>131.41999999999999</v>
      </c>
      <c r="I107" s="3">
        <v>180</v>
      </c>
      <c r="J107" s="4">
        <f t="shared" si="1"/>
        <v>56.721837905499584</v>
      </c>
    </row>
    <row r="108" spans="1:10" ht="17" customHeight="1" x14ac:dyDescent="0.2">
      <c r="A108" s="2" t="s">
        <v>10</v>
      </c>
      <c r="B108" s="3">
        <v>4</v>
      </c>
      <c r="C108" s="3">
        <v>16</v>
      </c>
      <c r="D108" s="2" t="s">
        <v>8</v>
      </c>
      <c r="E108" s="3">
        <v>29</v>
      </c>
      <c r="F108" s="3">
        <v>584</v>
      </c>
      <c r="G108" s="3">
        <v>1413</v>
      </c>
      <c r="H108" s="4">
        <v>215.31</v>
      </c>
      <c r="I108" s="3">
        <v>290</v>
      </c>
      <c r="J108" s="4">
        <f t="shared" si="1"/>
        <v>57.680303882208676</v>
      </c>
    </row>
    <row r="109" spans="1:10" ht="17" customHeight="1" x14ac:dyDescent="0.2">
      <c r="A109" s="2" t="s">
        <v>10</v>
      </c>
      <c r="B109" s="3">
        <v>4</v>
      </c>
      <c r="C109" s="3">
        <v>16</v>
      </c>
      <c r="D109" s="2" t="s">
        <v>9</v>
      </c>
      <c r="E109" s="3">
        <v>32</v>
      </c>
      <c r="F109" s="3">
        <v>647</v>
      </c>
      <c r="G109" s="3">
        <v>1137</v>
      </c>
      <c r="H109" s="4">
        <v>237.37</v>
      </c>
      <c r="I109" s="3">
        <v>320</v>
      </c>
      <c r="J109" s="4">
        <f t="shared" si="1"/>
        <v>57.628483094589832</v>
      </c>
    </row>
    <row r="110" spans="1:10" ht="17" customHeight="1" x14ac:dyDescent="0.2">
      <c r="A110" s="2" t="s">
        <v>10</v>
      </c>
      <c r="B110" s="3">
        <v>4</v>
      </c>
      <c r="C110" s="3">
        <v>17</v>
      </c>
      <c r="D110" s="2" t="s">
        <v>7</v>
      </c>
      <c r="E110" s="3">
        <v>52</v>
      </c>
      <c r="F110" s="3">
        <v>673</v>
      </c>
      <c r="G110" s="3">
        <v>1497</v>
      </c>
      <c r="H110" s="4">
        <v>220</v>
      </c>
      <c r="I110" s="3">
        <v>300</v>
      </c>
      <c r="J110" s="4">
        <f t="shared" si="1"/>
        <v>56.972170168360556</v>
      </c>
    </row>
    <row r="111" spans="1:10" ht="17" customHeight="1" x14ac:dyDescent="0.2">
      <c r="A111" s="2" t="s">
        <v>10</v>
      </c>
      <c r="B111" s="3">
        <v>4</v>
      </c>
      <c r="C111" s="3">
        <v>17</v>
      </c>
      <c r="D111" s="2" t="s">
        <v>8</v>
      </c>
      <c r="E111" s="3">
        <v>28</v>
      </c>
      <c r="F111" s="3">
        <v>694</v>
      </c>
      <c r="G111" s="3">
        <v>1600</v>
      </c>
      <c r="H111" s="4">
        <v>219.15</v>
      </c>
      <c r="I111" s="3">
        <v>300</v>
      </c>
      <c r="J111" s="4">
        <f t="shared" si="1"/>
        <v>56.752050419982808</v>
      </c>
    </row>
    <row r="112" spans="1:10" ht="17" customHeight="1" x14ac:dyDescent="0.2">
      <c r="A112" s="2" t="s">
        <v>10</v>
      </c>
      <c r="B112" s="3">
        <v>4</v>
      </c>
      <c r="C112" s="3">
        <v>17</v>
      </c>
      <c r="D112" s="2" t="s">
        <v>9</v>
      </c>
      <c r="E112" s="3">
        <v>36</v>
      </c>
      <c r="F112" s="3">
        <v>202</v>
      </c>
      <c r="G112" s="3">
        <v>456</v>
      </c>
      <c r="H112" s="4">
        <v>77.06</v>
      </c>
      <c r="I112" s="3">
        <v>120</v>
      </c>
      <c r="J112" s="4">
        <f t="shared" si="1"/>
        <v>49.889493558793916</v>
      </c>
    </row>
    <row r="113" spans="1:10" ht="17" customHeight="1" x14ac:dyDescent="0.2">
      <c r="A113" s="2" t="s">
        <v>10</v>
      </c>
      <c r="B113" s="3">
        <v>4</v>
      </c>
      <c r="C113" s="3">
        <v>18</v>
      </c>
      <c r="D113" s="2" t="s">
        <v>7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</row>
    <row r="114" spans="1:10" ht="17" customHeight="1" x14ac:dyDescent="0.2">
      <c r="A114" s="2" t="s">
        <v>10</v>
      </c>
      <c r="B114" s="3">
        <v>4</v>
      </c>
      <c r="C114" s="3">
        <v>18</v>
      </c>
      <c r="D114" s="2" t="s">
        <v>8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</row>
    <row r="115" spans="1:10" ht="17" customHeight="1" x14ac:dyDescent="0.2">
      <c r="A115" s="2" t="s">
        <v>10</v>
      </c>
      <c r="B115" s="3">
        <v>4</v>
      </c>
      <c r="C115" s="3">
        <v>18</v>
      </c>
      <c r="D115" s="2" t="s">
        <v>9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</row>
    <row r="116" spans="1:10" ht="17" customHeight="1" x14ac:dyDescent="0.2">
      <c r="A116" s="2" t="s">
        <v>10</v>
      </c>
      <c r="B116" s="3">
        <v>4</v>
      </c>
      <c r="C116" s="3">
        <v>19</v>
      </c>
      <c r="D116" s="2" t="s">
        <v>7</v>
      </c>
      <c r="E116" s="3">
        <v>10</v>
      </c>
      <c r="F116" s="3">
        <v>525</v>
      </c>
      <c r="G116" s="3">
        <v>1276</v>
      </c>
      <c r="H116" s="4">
        <v>190.13</v>
      </c>
      <c r="I116" s="3">
        <v>260</v>
      </c>
      <c r="J116" s="4">
        <f t="shared" ref="J116:J121" si="2">(H116/I116)*(1/453.59)*35239.1</f>
        <v>56.811811437641921</v>
      </c>
    </row>
    <row r="117" spans="1:10" ht="17" customHeight="1" x14ac:dyDescent="0.2">
      <c r="A117" s="2" t="s">
        <v>10</v>
      </c>
      <c r="B117" s="3">
        <v>4</v>
      </c>
      <c r="C117" s="3">
        <v>19</v>
      </c>
      <c r="D117" s="2" t="s">
        <v>8</v>
      </c>
      <c r="E117" s="3">
        <v>9</v>
      </c>
      <c r="F117" s="3">
        <v>331</v>
      </c>
      <c r="G117" s="3">
        <v>857</v>
      </c>
      <c r="H117" s="3">
        <v>133.31</v>
      </c>
      <c r="I117" s="3">
        <v>180</v>
      </c>
      <c r="J117" s="3">
        <f t="shared" si="2"/>
        <v>57.537575796546562</v>
      </c>
    </row>
    <row r="118" spans="1:10" ht="17" customHeight="1" x14ac:dyDescent="0.2">
      <c r="A118" s="2" t="s">
        <v>10</v>
      </c>
      <c r="B118" s="3">
        <v>4</v>
      </c>
      <c r="C118" s="3">
        <v>19</v>
      </c>
      <c r="D118" s="2" t="s">
        <v>9</v>
      </c>
      <c r="E118" s="3">
        <v>11</v>
      </c>
      <c r="F118" s="3">
        <v>387</v>
      </c>
      <c r="G118" s="3">
        <v>929</v>
      </c>
      <c r="H118" s="4">
        <v>135.59</v>
      </c>
      <c r="I118" s="3">
        <v>190</v>
      </c>
      <c r="J118" s="4">
        <f t="shared" si="2"/>
        <v>55.44155420905269</v>
      </c>
    </row>
    <row r="119" spans="1:10" ht="17" customHeight="1" x14ac:dyDescent="0.2">
      <c r="A119" s="2" t="s">
        <v>10</v>
      </c>
      <c r="B119" s="3">
        <v>4</v>
      </c>
      <c r="C119" s="3">
        <v>20</v>
      </c>
      <c r="D119" s="2" t="s">
        <v>7</v>
      </c>
      <c r="E119" s="3">
        <v>21</v>
      </c>
      <c r="F119" s="3">
        <v>212</v>
      </c>
      <c r="G119" s="3">
        <v>496</v>
      </c>
      <c r="H119" s="4">
        <v>93.11</v>
      </c>
      <c r="I119" s="3">
        <v>120</v>
      </c>
      <c r="J119" s="4">
        <f t="shared" si="2"/>
        <v>60.280440504273322</v>
      </c>
    </row>
    <row r="120" spans="1:10" ht="17" customHeight="1" x14ac:dyDescent="0.2">
      <c r="A120" s="2" t="s">
        <v>10</v>
      </c>
      <c r="B120" s="3">
        <v>4</v>
      </c>
      <c r="C120" s="3">
        <v>20</v>
      </c>
      <c r="D120" s="2" t="s">
        <v>8</v>
      </c>
      <c r="E120" s="3">
        <v>23</v>
      </c>
      <c r="F120" s="3">
        <v>244</v>
      </c>
      <c r="G120" s="3">
        <v>569</v>
      </c>
      <c r="H120" s="4">
        <v>96.11</v>
      </c>
      <c r="I120" s="3">
        <v>130</v>
      </c>
      <c r="J120" s="4">
        <f t="shared" si="2"/>
        <v>57.436314072179727</v>
      </c>
    </row>
    <row r="121" spans="1:10" ht="17" customHeight="1" x14ac:dyDescent="0.2">
      <c r="A121" s="2" t="s">
        <v>10</v>
      </c>
      <c r="B121" s="3">
        <v>4</v>
      </c>
      <c r="C121" s="3">
        <v>20</v>
      </c>
      <c r="D121" s="2" t="s">
        <v>9</v>
      </c>
      <c r="E121" s="3">
        <v>14</v>
      </c>
      <c r="F121" s="3">
        <v>660</v>
      </c>
      <c r="G121" s="3">
        <v>1632</v>
      </c>
      <c r="H121" s="4">
        <v>245.31</v>
      </c>
      <c r="I121" s="3">
        <v>330</v>
      </c>
      <c r="J121" s="4">
        <f t="shared" si="2"/>
        <v>57.7514176198369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2020-03-16T16:04:18Z</dcterms:created>
  <dcterms:modified xsi:type="dcterms:W3CDTF">2020-03-16T20:05:59Z</dcterms:modified>
</cp:coreProperties>
</file>